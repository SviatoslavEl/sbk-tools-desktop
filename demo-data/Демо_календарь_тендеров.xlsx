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f4b7a9fef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4117fdd59c484817"/>
    <x:sheet xmlns:r="http://schemas.openxmlformats.org/officeDocument/2006/relationships" name="Тендеры" sheetId="2" r:id="Rbc0eb7acb1f64f8f"/>
    <x:sheet xmlns:r="http://schemas.openxmlformats.org/officeDocument/2006/relationships" name="Специалисты" sheetId="3" r:id="Rbed3b27b2e77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 [$₽-ru-RU]"/>
    <x:numFmt numFmtId="202" formatCode="0&quot;%&quot;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3C2A"/>
      <x:name val="Carlito"/>
    </x:font>
    <x:font>
      <x:b/>
      <x:sz val="20"/>
      <x:color rgb="FFFFFFFF"/>
      <x:name val="Carlito"/>
    </x:font>
    <x:font>
      <x:b/>
      <x:sz val="11"/>
      <x:color rgb="FF2F9845"/>
      <x:name val="Carlito"/>
    </x:font>
    <x:font>
      <x:b/>
      <x:sz val="18"/>
      <x:color rgb="FF173C2A"/>
      <x:name val="Carlito"/>
    </x:font>
    <x:font>
      <x:i/>
      <x:sz val="11"/>
      <x:color rgb="FF173C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9845"/>
      </x:patternFill>
    </x:fill>
    <x:fill>
      <x:patternFill patternType="solid">
        <x:fgColor rgb="FF173C2A"/>
      </x:patternFill>
    </x:fill>
    <x:fill>
      <x:patternFill patternType="solid">
        <x:fgColor rgb="FFF2F8F3"/>
      </x:patternFill>
    </x:fill>
    <x:fill>
      <x:patternFill patternType="solid">
        <x:fgColor rgb="FFFFFFFF"/>
      </x:patternFill>
    </x:fill>
    <x:fill>
      <x:patternFill patternType="solid">
        <x:fgColor rgb="FFDFF1E3"/>
      </x:patternFill>
    </x:fill>
  </x:fills>
  <x:borders count="19">
    <x:border/>
    <x:border>
      <x:right style="thin">
        <x:color rgb="FFE2ECE4"/>
      </x:right>
      <x:bottom style="thin">
        <x:color rgb="FFBDD6C3"/>
      </x:bottom>
    </x:border>
    <x:border>
      <x:left style="thin">
        <x:color rgb="FFE2ECE4"/>
      </x:left>
      <x:right style="thin">
        <x:color rgb="FFE2ECE4"/>
      </x:right>
      <x:bottom style="thin">
        <x:color rgb="FFBDD6C3"/>
      </x:bottom>
    </x:border>
    <x:border>
      <x:left style="thin">
        <x:color rgb="FFE2ECE4"/>
      </x:left>
      <x:bottom style="thin">
        <x:color rgb="FFBDD6C3"/>
      </x:bottom>
    </x:border>
    <x:border>
      <x:right style="thin">
        <x:color rgb="FFE2ECE4"/>
      </x:right>
      <x:top style="thin">
        <x:color rgb="FFBDD6C3"/>
      </x:top>
      <x:bottom style="thin">
        <x:color rgb="FFBDD6C3"/>
      </x:bottom>
    </x:border>
    <x:border>
      <x:left style="thin">
        <x:color rgb="FFE2ECE4"/>
      </x:left>
      <x:right style="thin">
        <x:color rgb="FFE2ECE4"/>
      </x:right>
      <x:top style="thin">
        <x:color rgb="FFBDD6C3"/>
      </x:top>
      <x:bottom style="thin">
        <x:color rgb="FFBDD6C3"/>
      </x:bottom>
    </x:border>
    <x:border>
      <x:left style="thin">
        <x:color rgb="FFE2ECE4"/>
      </x:left>
      <x:top style="thin">
        <x:color rgb="FFBDD6C3"/>
      </x:top>
      <x:bottom style="thin">
        <x:color rgb="FFBDD6C3"/>
      </x:bottom>
    </x:border>
    <x:border>
      <x:right style="thin">
        <x:color rgb="FFE2ECE4"/>
      </x:right>
      <x:top style="thin">
        <x:color rgb="FFBDD6C3"/>
      </x:top>
    </x:border>
    <x:border>
      <x:left style="thin">
        <x:color rgb="FFE2ECE4"/>
      </x:left>
      <x:right style="thin">
        <x:color rgb="FFE2ECE4"/>
      </x:right>
      <x:top style="thin">
        <x:color rgb="FFBDD6C3"/>
      </x:top>
    </x:border>
    <x:border>
      <x:left style="thin">
        <x:color rgb="FFE2ECE4"/>
      </x:left>
      <x:top style="thin">
        <x:color rgb="FFBDD6C3"/>
      </x:top>
    </x:border>
    <x:border>
      <x:left style="thin">
        <x:color rgb="FFBDD6C3"/>
      </x:left>
      <x:top style="thin">
        <x:color rgb="FFBDD6C3"/>
      </x:top>
    </x:border>
    <x:border>
      <x:right style="thin">
        <x:color rgb="FFBDD6C3"/>
      </x:right>
      <x:top style="thin">
        <x:color rgb="FFBDD6C3"/>
      </x:top>
    </x:border>
    <x:border>
      <x:left style="thin">
        <x:color rgb="FFBDD6C3"/>
      </x:left>
    </x:border>
    <x:border>
      <x:right style="thin">
        <x:color rgb="FFBDD6C3"/>
      </x:right>
    </x:border>
    <x:border>
      <x:left style="thin">
        <x:color rgb="FFBDD6C3"/>
      </x:left>
      <x:bottom style="thin">
        <x:color rgb="FFBDD6C3"/>
      </x:bottom>
    </x:border>
    <x:border>
      <x:right style="thin">
        <x:color rgb="FFBDD6C3"/>
      </x:right>
      <x:bottom style="thin">
        <x:color rgb="FFBDD6C3"/>
      </x:bottom>
    </x:border>
    <x:border>
      <x:bottom style="thin">
        <x:color rgb="FFBDD6C3"/>
      </x:bottom>
    </x:border>
    <x:border>
      <x:top style="thin">
        <x:color rgb="FFBDD6C3"/>
      </x:top>
      <x:bottom style="thin">
        <x:color rgb="FFBDD6C3"/>
      </x:bottom>
    </x:border>
    <x:border>
      <x:top style="thin">
        <x:color rgb="FFBDD6C3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2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1" fontId="2" fillId="0" borderId="2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202" fontId="2" fillId="0" borderId="3" xfId="0" applyNumberFormat="1" applyFont="1" applyFill="1" applyBorder="1"/>
    <x:xf numFmtId="202" fontId="2" fillId="0" borderId="6" xfId="0" applyNumberFormat="1" applyFont="1" applyFill="1" applyBorder="1"/>
    <x:xf numFmtId="202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0" xfId="0" applyNumberFormat="1" applyFont="1" applyFill="1" applyBorder="1" applyAlignment="1">
      <x:alignment horizontal="center"/>
    </x:xf>
    <x:xf numFmtId="0" fontId="2" fillId="4" borderId="11" xfId="0" applyNumberFormat="1" applyFont="1" applyFill="1" applyBorder="1" applyAlignment="1">
      <x:alignment horizontal="center"/>
    </x:xf>
    <x:xf numFmtId="0" fontId="2" fillId="4" borderId="12" xfId="0" applyNumberFormat="1" applyFont="1" applyFill="1" applyBorder="1" applyAlignment="1">
      <x:alignment horizontal="center"/>
    </x:xf>
    <x:xf numFmtId="0" fontId="2" fillId="4" borderId="13" xfId="0" applyNumberFormat="1" applyFont="1" applyFill="1" applyBorder="1" applyAlignment="1">
      <x:alignment horizontal="center"/>
    </x:xf>
    <x:xf numFmtId="0" fontId="2" fillId="4" borderId="14" xfId="0" applyNumberFormat="1" applyFont="1" applyFill="1" applyBorder="1" applyAlignment="1">
      <x:alignment horizontal="center"/>
    </x:xf>
    <x:xf numFmtId="0" fontId="2" fillId="4" borderId="15" xfId="0" applyNumberFormat="1" applyFont="1" applyFill="1" applyBorder="1" applyAlignment="1">
      <x:alignment horizontal="center"/>
    </x:xf>
    <x:xf numFmtId="0" fontId="2" fillId="4" borderId="10" xfId="0" applyNumberFormat="1" applyFont="1" applyFill="1" applyBorder="1" applyAlignment="1">
      <x:alignment horizontal="center" vertical="center"/>
    </x:xf>
    <x:xf numFmtId="0" fontId="2" fillId="4" borderId="11" xfId="0" applyNumberFormat="1" applyFont="1" applyFill="1" applyBorder="1" applyAlignment="1">
      <x:alignment horizontal="center" vertical="center"/>
    </x:xf>
    <x:xf numFmtId="0" fontId="2" fillId="4" borderId="12" xfId="0" applyNumberFormat="1" applyFont="1" applyFill="1" applyBorder="1" applyAlignment="1">
      <x:alignment horizontal="center" vertical="center"/>
    </x:xf>
    <x:xf numFmtId="0" fontId="2" fillId="4" borderId="13" xfId="0" applyNumberFormat="1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5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/>
    <x:xf numFmtId="201" fontId="2" fillId="4" borderId="0" xfId="0" applyNumberFormat="1" applyFont="1" applyFill="1" applyBorder="1"/>
    <x:xf numFmtId="201" fontId="2" fillId="4" borderId="12" xfId="0" applyNumberFormat="1" applyFont="1" applyFill="1" applyBorder="1"/>
    <x:xf numFmtId="201" fontId="2" fillId="4" borderId="12" xfId="0" applyNumberFormat="1" applyFont="1" applyFill="1" applyBorder="1" applyAlignment="1">
      <x:alignment horizontal="center"/>
    </x:xf>
    <x:xf numFmtId="201" fontId="2" fillId="4" borderId="12" xfId="0" applyNumberFormat="1" applyFont="1" applyFill="1" applyBorder="1" applyAlignment="1">
      <x:alignment horizontal="center" vertical="center"/>
    </x:xf>
    <x:xf numFmtId="202" fontId="0" fillId="4" borderId="0" xfId="0" applyNumberFormat="1" applyFont="1" applyFill="1" applyBorder="1"/>
    <x:xf numFmtId="202" fontId="2" fillId="4" borderId="0" xfId="0" applyNumberFormat="1" applyFont="1" applyFill="1" applyBorder="1"/>
    <x:xf numFmtId="202" fontId="2" fillId="4" borderId="12" xfId="0" applyNumberFormat="1" applyFont="1" applyFill="1" applyBorder="1"/>
    <x:xf numFmtId="202" fontId="2" fillId="4" borderId="12" xfId="0" applyNumberFormat="1" applyFont="1" applyFill="1" applyBorder="1" applyAlignment="1">
      <x:alignment horizontal="center"/>
    </x:xf>
    <x:xf numFmtId="202" fontId="2" fillId="4" borderId="12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4" borderId="12" xfId="0" applyNumberFormat="1" applyFont="1" applyFill="1" applyBorder="1" applyAlignment="1">
      <x:alignment horizontal="center" vertical="center"/>
    </x:xf>
    <x:xf numFmtId="0" fontId="5" fillId="4" borderId="1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1" fontId="5" fillId="4" borderId="12" xfId="0" applyNumberFormat="1" applyFont="1" applyFill="1" applyBorder="1" applyAlignment="1">
      <x:alignment horizontal="center" vertical="center"/>
    </x:xf>
    <x:xf numFmtId="202" fontId="5" fillId="4" borderId="12" xfId="0" applyNumberFormat="1" applyFont="1" applyFill="1" applyBorder="1" applyAlignment="1">
      <x:alignment horizontal="center" vertical="center"/>
    </x:xf>
    <x:xf numFmtId="0" fontId="5" fillId="4" borderId="14" xfId="0" applyNumberFormat="1" applyFont="1" applyFill="1" applyBorder="1" applyAlignment="1">
      <x:alignment horizontal="center" vertical="center"/>
    </x:xf>
    <x:xf numFmtId="0" fontId="5" fillId="4" borderId="1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6" xfId="0" applyNumberFormat="1" applyFont="1" applyFill="1" applyBorder="1"/>
    <x:xf numFmtId="0" fontId="2" fillId="5" borderId="17" xfId="0" applyNumberFormat="1" applyFont="1" applyFill="1" applyBorder="1"/>
    <x:xf numFmtId="0" fontId="2" fillId="5" borderId="18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2730"/>
      </x:font>
      <x:fill>
        <x:patternFill patternType="solid">
          <x:bgColor rgb="FFFAE3E5"/>
        </x:patternFill>
      </x:fill>
    </x:dxf>
    <x:dxf>
      <x:font>
        <x:b/>
        <x:color rgb="FF7D540C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a8bf7f09f4eb0" /><Relationship Type="http://schemas.openxmlformats.org/officeDocument/2006/relationships/theme" Target="/xl/theme/theme1.xml" Id="Rfb580ff8beac4067" /><Relationship Type="http://schemas.openxmlformats.org/officeDocument/2006/relationships/sharedStrings" Target="/xl/sharedStrings.xml" Id="R2f373f9dbcfd4757" /><Relationship Type="http://schemas.openxmlformats.org/officeDocument/2006/relationships/worksheet" Target="/xl/worksheets/sheet1.xml" Id="R4117fdd59c484817" /><Relationship Type="http://schemas.openxmlformats.org/officeDocument/2006/relationships/worksheet" Target="/xl/worksheets/sheet2.xml" Id="Rbc0eb7acb1f64f8f" /><Relationship Type="http://schemas.openxmlformats.org/officeDocument/2006/relationships/worksheet" Target="/xl/worksheets/sheet3.xml" Id="Rbed3b27b2e7749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7bcb236b1749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Текущая загрузка специалистов, часов в неделю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Назначено, ч/нед.</c:v>
          </c:tx>
          <c:cat>
            <c:strRef>
              <c:f>'Обзор'!$A$10:$A$14</c:f>
              <c:strCache>
                <c:ptCount val="0"/>
              </c:strCache>
            </c:strRef>
          </c:cat>
          <c:val>
            <c:numRef>
              <c:f>'Обзор'!$B$10:$B$14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7bcb236b1749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moTenders" displayName="DemoTenders" ref="A1:H7" headerRowCount="1" totalsRowCount="0" totalsRowShown="0">
  <x:tableColumns count="8">
    <x:tableColumn id="1" name="Код"/>
    <x:tableColumn id="2" name="Закупка"/>
    <x:tableColumn id="3" name="Менеджер"/>
    <x:tableColumn id="4" name="Срок подачи"/>
    <x:tableColumn id="5" name="Сложность"/>
    <x:tableColumn id="6" name="Статус"/>
    <x:tableColumn id="7" name="НМЦК, руб."/>
    <x:tableColumn id="8" name="Готовность, %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emoPeople" displayName="DemoPeople" ref="A1:G6" headerRowCount="1" totalsRowCount="0" totalsRowShown="0">
  <x:tableColumns count="7">
    <x:tableColumn id="1" name="Сотрудник"/>
    <x:tableColumn id="2" name="Роль"/>
    <x:tableColumn id="3" name="Квалификация"/>
    <x:tableColumn id="4" name="Специализация"/>
    <x:tableColumn id="5" name="Доступно, ч/нед."/>
    <x:tableColumn id="6" name="Назначено, ч/нед."/>
    <x:tableColumn id="7" name="Загрузк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c1fc84d1b0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bcf78de96741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3ac075ff714a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8" t="str">
        <x:v>Демонстрационный календарь тендеров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61" t="str">
        <x:v>Активных закупок</x:v>
      </x:c>
      <x:c r="B4" s="62"/>
      <x:c r="C4" s="63"/>
      <x:c r="D4" s="61" t="str">
        <x:v>Общая НМЦК</x:v>
      </x:c>
      <x:c r="E4" s="62"/>
      <x:c r="F4" s="63"/>
      <x:c r="G4" s="61" t="str">
        <x:v>Средняя готовность</x:v>
      </x:c>
      <x:c r="H4" s="62"/>
    </x:row>
    <x:row r="5">
      <x:c r="A5" s="64" t="n">
        <x:f>COUNTA('Тендеры'!$A$2:$A$7)</x:f>
        <x:v>6</x:v>
      </x:c>
      <x:c r="B5" s="65"/>
      <x:c r="C5" s="66"/>
      <x:c r="D5" s="67" t="n">
        <x:f>SUM('Тендеры'!$G$2:$G$7)</x:f>
        <x:v>20680000</x:v>
      </x:c>
      <x:c r="E5" s="65"/>
      <x:c r="F5" s="66"/>
      <x:c r="G5" s="68" t="n">
        <x:f>AVERAGE('Тендеры'!$H$2:$H$7)</x:f>
        <x:v>50.833333333333336</x:v>
      </x:c>
      <x:c r="H5" s="65"/>
    </x:row>
    <x:row r="6">
      <x:c r="A6" s="69"/>
      <x:c r="B6" s="70"/>
      <x:c r="C6" s="66"/>
      <x:c r="D6" s="69"/>
      <x:c r="E6" s="70"/>
      <x:c r="F6" s="66"/>
      <x:c r="G6" s="69"/>
      <x:c r="H6" s="70"/>
    </x:row>
    <x:row r="9">
      <x:c r="A9" s="2" t="str">
        <x:v>Менеджер</x:v>
      </x:c>
      <x:c r="B9" s="2" t="str">
        <x:v>Назначено, ч/нед.</x:v>
      </x:c>
    </x:row>
    <x:row r="10">
      <x:c r="A10" s="73" t="str">
        <x:v>Анна Волкова</x:v>
      </x:c>
      <x:c r="B10" s="73" t="n">
        <x:v>11</x:v>
      </x:c>
    </x:row>
    <x:row r="11">
      <x:c r="A11" s="74" t="str">
        <x:v>Илья Морозов</x:v>
      </x:c>
      <x:c r="B11" s="74" t="n">
        <x:v>8</x:v>
      </x:c>
    </x:row>
    <x:row r="12">
      <x:c r="A12" s="74" t="str">
        <x:v>Мария Соколова</x:v>
      </x:c>
      <x:c r="B12" s="74" t="n">
        <x:v>6</x:v>
      </x:c>
    </x:row>
    <x:row r="13">
      <x:c r="A13" s="74" t="str">
        <x:v>Дмитрий Орлов</x:v>
      </x:c>
      <x:c r="B13" s="74" t="n">
        <x:v>7</x:v>
      </x:c>
    </x:row>
    <x:row r="14">
      <x:c r="A14" s="75" t="str">
        <x:v>Елена Крылова</x:v>
      </x:c>
      <x:c r="B14" s="75" t="n">
        <x:v>4</x:v>
      </x:c>
    </x:row>
    <x:row r="24">
      <x:c r="A24" s="79" t="str">
        <x:v>Все данные вымышлены. Изменяйте строки на листах «Тендеры» и «Специалисты», чтобы показать импорт и аналитику приложения.</x:v>
      </x:c>
      <x:c r="B24" s="79"/>
      <x:c r="C24" s="79"/>
      <x:c r="D24" s="79"/>
      <x:c r="E24" s="79"/>
      <x:c r="F24" s="79"/>
      <x:c r="G24" s="79"/>
      <x:c r="H24" s="79"/>
    </x:row>
    <x:row r="25">
      <x:c r="A25" s="79"/>
      <x:c r="B25" s="79"/>
      <x:c r="C25" s="79"/>
      <x:c r="D25" s="79"/>
      <x:c r="E25" s="79"/>
      <x:c r="F25" s="79"/>
      <x:c r="G25" s="79"/>
      <x:c r="H25" s="79"/>
    </x:row>
  </x:sheetData>
  <x:mergeCells>
    <x:mergeCell ref="A1:H2"/>
    <x:mergeCell ref="A4:B4"/>
    <x:mergeCell ref="D4:E4"/>
    <x:mergeCell ref="G4:H4"/>
    <x:mergeCell ref="A5:B6"/>
    <x:mergeCell ref="D5:E6"/>
    <x:mergeCell ref="G5:H6"/>
    <x:mergeCell ref="A24:H25"/>
  </x:mergeCells>
  <x:pageMargins left="0.7" right="0.7" top="0.75" bottom="0.75" header="0.3" footer="0.3"/>
  <x:drawing xmlns:r="http://schemas.openxmlformats.org/officeDocument/2006/relationships" r:id="Rb7c1fc84d1b049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3" t="str">
        <x:v>Код</x:v>
      </x:c>
      <x:c r="B1" s="3" t="str">
        <x:v>Закупка</x:v>
      </x:c>
      <x:c r="C1" s="3" t="str">
        <x:v>Менеджер</x:v>
      </x:c>
      <x:c r="D1" s="3" t="str">
        <x:v>Срок подачи</x:v>
      </x:c>
      <x:c r="E1" s="3" t="str">
        <x:v>Сложность</x:v>
      </x:c>
      <x:c r="F1" s="3" t="str">
        <x:v>Статус</x:v>
      </x:c>
      <x:c r="G1" s="3" t="str">
        <x:v>НМЦК, руб.</x:v>
      </x:c>
      <x:c r="H1" s="3" t="str">
        <x:v>Готовность, %</x:v>
      </x:c>
    </x:row>
    <x:row r="2" ht="23" customHeight="1">
      <x:c r="A2" s="5" t="str">
        <x:v>Т-026</x:v>
      </x:c>
      <x:c r="B2" s="23" t="str">
        <x:v>Лабораторное оборудование</x:v>
      </x:c>
      <x:c r="C2" s="6" t="str">
        <x:v>Анна Волкова</x:v>
      </x:c>
      <x:c r="D2" s="14" t="str">
        <x:v>18.09.2026</x:v>
      </x:c>
      <x:c r="E2" s="6" t="n">
        <x:v>5</x:v>
      </x:c>
      <x:c r="F2" s="6" t="str">
        <x:v>Подготовка</x:v>
      </x:c>
      <x:c r="G2" s="17" t="n">
        <x:v>4850000</x:v>
      </x:c>
      <x:c r="H2" s="20" t="n">
        <x:v>65</x:v>
      </x:c>
    </x:row>
    <x:row r="3" ht="23" customHeight="1">
      <x:c r="A3" s="8" t="str">
        <x:v>Т-027</x:v>
      </x:c>
      <x:c r="B3" s="24" t="str">
        <x:v>Поставка серверов</x:v>
      </x:c>
      <x:c r="C3" s="9" t="str">
        <x:v>Илья Морозов</x:v>
      </x:c>
      <x:c r="D3" s="15" t="str">
        <x:v>11.09.2026</x:v>
      </x:c>
      <x:c r="E3" s="9" t="n">
        <x:v>4</x:v>
      </x:c>
      <x:c r="F3" s="9" t="str">
        <x:v>Проверка</x:v>
      </x:c>
      <x:c r="G3" s="18" t="n">
        <x:v>7200000</x:v>
      </x:c>
      <x:c r="H3" s="21" t="n">
        <x:v>82</x:v>
      </x:c>
    </x:row>
    <x:row r="4" ht="23" customHeight="1">
      <x:c r="A4" s="8" t="str">
        <x:v>Т-028</x:v>
      </x:c>
      <x:c r="B4" s="24" t="str">
        <x:v>Услуги техподдержки</x:v>
      </x:c>
      <x:c r="C4" s="9" t="str">
        <x:v>Мария Соколова</x:v>
      </x:c>
      <x:c r="D4" s="15" t="str">
        <x:v>25.09.2026</x:v>
      </x:c>
      <x:c r="E4" s="9" t="n">
        <x:v>3</x:v>
      </x:c>
      <x:c r="F4" s="9" t="str">
        <x:v>Анализ</x:v>
      </x:c>
      <x:c r="G4" s="18" t="n">
        <x:v>2100000</x:v>
      </x:c>
      <x:c r="H4" s="21" t="n">
        <x:v>35</x:v>
      </x:c>
    </x:row>
    <x:row r="5" ht="23" customHeight="1">
      <x:c r="A5" s="8" t="str">
        <x:v>Т-029</x:v>
      </x:c>
      <x:c r="B5" s="24" t="str">
        <x:v>Строительные материалы</x:v>
      </x:c>
      <x:c r="C5" s="9" t="str">
        <x:v>Дмитрий Орлов</x:v>
      </x:c>
      <x:c r="D5" s="15" t="str">
        <x:v>08.09.2026</x:v>
      </x:c>
      <x:c r="E5" s="9" t="n">
        <x:v>2</x:v>
      </x:c>
      <x:c r="F5" s="9" t="str">
        <x:v>Риск срока</x:v>
      </x:c>
      <x:c r="G5" s="18" t="n">
        <x:v>1650000</x:v>
      </x:c>
      <x:c r="H5" s="21" t="n">
        <x:v>55</x:v>
      </x:c>
    </x:row>
    <x:row r="6" ht="23" customHeight="1">
      <x:c r="A6" s="8" t="str">
        <x:v>Т-030</x:v>
      </x:c>
      <x:c r="B6" s="24" t="str">
        <x:v>Медицинские расходники</x:v>
      </x:c>
      <x:c r="C6" s="9" t="str">
        <x:v>Анна Волкова</x:v>
      </x:c>
      <x:c r="D6" s="15" t="str">
        <x:v>02.10.2026</x:v>
      </x:c>
      <x:c r="E6" s="9" t="n">
        <x:v>4</x:v>
      </x:c>
      <x:c r="F6" s="9" t="str">
        <x:v>Анализ</x:v>
      </x:c>
      <x:c r="G6" s="18" t="n">
        <x:v>3900000</x:v>
      </x:c>
      <x:c r="H6" s="21" t="n">
        <x:v>20</x:v>
      </x:c>
    </x:row>
    <x:row r="7" ht="23" customHeight="1">
      <x:c r="A7" s="11" t="str">
        <x:v>Т-031</x:v>
      </x:c>
      <x:c r="B7" s="25" t="str">
        <x:v>Обучение персонала</x:v>
      </x:c>
      <x:c r="C7" s="12" t="str">
        <x:v>Елена Крылова</x:v>
      </x:c>
      <x:c r="D7" s="16" t="str">
        <x:v>30.09.2026</x:v>
      </x:c>
      <x:c r="E7" s="12" t="n">
        <x:v>2</x:v>
      </x:c>
      <x:c r="F7" s="12" t="str">
        <x:v>Подготовка</x:v>
      </x:c>
      <x:c r="G7" s="19" t="n">
        <x:v>980000</x:v>
      </x:c>
      <x:c r="H7" s="22" t="n">
        <x:v>48</x:v>
      </x:c>
    </x:row>
  </x:sheetData>
  <x:conditionalFormatting sqref="H2:H7">
    <x:cfRule type="dataBar" priority="1">
      <x:dataBar>
        <x:cfvo type="min"/>
        <x:cfvo type="max"/>
        <x:color rgb="FF2F9845"/>
      </x:dataBar>
    </x:cfRule>
  </x:conditionalFormatting>
  <x:conditionalFormatting sqref="F2:F7">
    <x:cfRule type="containsText" dxfId="0" priority="2" operator="containsText" text="Риск"/>
  </x:conditionalFormatting>
  <x:dataValidations count="1">
    <x:dataValidation type="list" sqref="F2:F7">
      <x:formula1>"Анализ,Подготовка,Проверка,Риск срока,Подано"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cf78de96741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3" t="str">
        <x:v>Сотрудник</x:v>
      </x:c>
      <x:c r="B1" s="3" t="str">
        <x:v>Роль</x:v>
      </x:c>
      <x:c r="C1" s="3" t="str">
        <x:v>Квалификация</x:v>
      </x:c>
      <x:c r="D1" s="3" t="str">
        <x:v>Специализация</x:v>
      </x:c>
      <x:c r="E1" s="3" t="str">
        <x:v>Доступно, ч/нед.</x:v>
      </x:c>
      <x:c r="F1" s="3" t="str">
        <x:v>Назначено, ч/нед.</x:v>
      </x:c>
      <x:c r="G1" s="3" t="str">
        <x:v>Загрузка</x:v>
      </x:c>
    </x:row>
    <x:row r="2" ht="24" customHeight="1">
      <x:c r="A2" s="5" t="str">
        <x:v>Анна Волкова</x:v>
      </x:c>
      <x:c r="B2" s="6" t="str">
        <x:v>Старший менеджер</x:v>
      </x:c>
      <x:c r="C2" s="6" t="n">
        <x:v>5</x:v>
      </x:c>
      <x:c r="D2" s="23" t="str">
        <x:v>Оборудование; медицина</x:v>
      </x:c>
      <x:c r="E2" s="6" t="n">
        <x:v>14</x:v>
      </x:c>
      <x:c r="F2" s="6" t="n">
        <x:v>11</x:v>
      </x:c>
      <x:c r="G2" s="7" t="str">
        <x:v>Высокая</x:v>
      </x:c>
    </x:row>
    <x:row r="3" ht="24" customHeight="1">
      <x:c r="A3" s="8" t="str">
        <x:v>Илья Морозов</x:v>
      </x:c>
      <x:c r="B3" s="9" t="str">
        <x:v>Менеджер</x:v>
      </x:c>
      <x:c r="C3" s="9" t="n">
        <x:v>4</x:v>
      </x:c>
      <x:c r="D3" s="24" t="str">
        <x:v>ИТ; связь</x:v>
      </x:c>
      <x:c r="E3" s="9" t="n">
        <x:v>12</x:v>
      </x:c>
      <x:c r="F3" s="9" t="n">
        <x:v>8</x:v>
      </x:c>
      <x:c r="G3" s="10" t="str">
        <x:v>Средняя</x:v>
      </x:c>
    </x:row>
    <x:row r="4" ht="24" customHeight="1">
      <x:c r="A4" s="8" t="str">
        <x:v>Мария Соколова</x:v>
      </x:c>
      <x:c r="B4" s="9" t="str">
        <x:v>Менеджер</x:v>
      </x:c>
      <x:c r="C4" s="9" t="n">
        <x:v>4</x:v>
      </x:c>
      <x:c r="D4" s="24" t="str">
        <x:v>Услуги; консалтинг</x:v>
      </x:c>
      <x:c r="E4" s="9" t="n">
        <x:v>10</x:v>
      </x:c>
      <x:c r="F4" s="9" t="n">
        <x:v>6</x:v>
      </x:c>
      <x:c r="G4" s="10" t="str">
        <x:v>Средняя</x:v>
      </x:c>
    </x:row>
    <x:row r="5" ht="24" customHeight="1">
      <x:c r="A5" s="8" t="str">
        <x:v>Дмитрий Орлов</x:v>
      </x:c>
      <x:c r="B5" s="9" t="str">
        <x:v>Специалист</x:v>
      </x:c>
      <x:c r="C5" s="9" t="n">
        <x:v>3</x:v>
      </x:c>
      <x:c r="D5" s="24" t="str">
        <x:v>Строительство</x:v>
      </x:c>
      <x:c r="E5" s="9" t="n">
        <x:v>8</x:v>
      </x:c>
      <x:c r="F5" s="9" t="n">
        <x:v>7</x:v>
      </x:c>
      <x:c r="G5" s="10" t="str">
        <x:v>Высокая</x:v>
      </x:c>
    </x:row>
    <x:row r="6" ht="24" customHeight="1">
      <x:c r="A6" s="11" t="str">
        <x:v>Елена Крылова</x:v>
      </x:c>
      <x:c r="B6" s="12" t="str">
        <x:v>Специалист</x:v>
      </x:c>
      <x:c r="C6" s="12" t="n">
        <x:v>3</x:v>
      </x:c>
      <x:c r="D6" s="25" t="str">
        <x:v>Обучение; услуги</x:v>
      </x:c>
      <x:c r="E6" s="12" t="n">
        <x:v>8</x:v>
      </x:c>
      <x:c r="F6" s="12" t="n">
        <x:v>4</x:v>
      </x:c>
      <x:c r="G6" s="13" t="str">
        <x:v>Низкая</x:v>
      </x:c>
    </x:row>
  </x:sheetData>
  <x:conditionalFormatting sqref="G2:G6">
    <x:cfRule type="containsText" dxfId="1" priority="1" operator="containsText" text="Высокая"/>
  </x:conditionalFormatting>
  <x:pageMargins left="0.7" right="0.7" top="0.75" bottom="0.75" header="0.3" footer="0.3"/>
  <x:tableParts count="1">
    <x:tablePart xmlns:r="http://schemas.openxmlformats.org/officeDocument/2006/relationships" r:id="R8f3ac075ff714a73"/>
  </x:tableParts>
</x:worksheet>
</file>